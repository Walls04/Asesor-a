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c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<sst xmlns="http://schemas.openxmlformats.org/spreadsheetml/2006/main" count="50" uniqueCount="35">
  <si>
    <t xml:space="preserve">ISIN</t>
  </si>
  <si>
    <t xml:space="preserve">Nombre del fondo</t>
  </si>
  <si>
    <t xml:space="preserve">Categoría</t>
  </si>
  <si>
    <t xml:space="preserve">Divisa</t>
  </si>
  <si>
    <t xml:space="preserve">Nº Participaciones</t>
  </si>
  <si>
    <t xml:space="preserve">Valor Liquidativo (€)</t>
  </si>
  <si>
    <t xml:space="preserve">Valor de Mercado (€)</t>
  </si>
  <si>
    <t xml:space="preserve">TER (%)</t>
  </si>
  <si>
    <t xml:space="preserve">Clase</t>
  </si>
  <si>
    <t xml:space="preserve">LU0996182563</t>
  </si>
  <si>
    <t xml:space="preserve">DWS Concept Kaldemorgen LC</t>
  </si>
  <si>
    <t xml:space="preserve">Mixto Flexible</t>
  </si>
  <si>
    <t xml:space="preserve">EUR</t>
  </si>
  <si>
    <t xml:space="preserve">Retail</t>
  </si>
  <si>
    <t xml:space="preserve">LU0334857355</t>
  </si>
  <si>
    <t xml:space="preserve">Robeco Global Consumer Trends D</t>
  </si>
  <si>
    <t xml:space="preserve">RV Global</t>
  </si>
  <si>
    <t xml:space="preserve">ES0159259039</t>
  </si>
  <si>
    <t xml:space="preserve">Santander Renta Fija Privada A</t>
  </si>
  <si>
    <t xml:space="preserve">RF Corporativa EUR</t>
  </si>
  <si>
    <t xml:space="preserve">LU0113257694</t>
  </si>
  <si>
    <t xml:space="preserve">Fidelity Global Technology A</t>
  </si>
  <si>
    <t xml:space="preserve">RV Tecnología</t>
  </si>
  <si>
    <t xml:space="preserve">IE00B03HCZ61</t>
  </si>
  <si>
    <t xml:space="preserve">Vanguard Global Stock Index Inv</t>
  </si>
  <si>
    <t xml:space="preserve">RV Global Indexado</t>
  </si>
  <si>
    <t xml:space="preserve">Institucional</t>
  </si>
  <si>
    <t xml:space="preserve">LU0171310443</t>
  </si>
  <si>
    <t xml:space="preserve">BGF World Technology A2</t>
  </si>
  <si>
    <t xml:space="preserve">ES0138943036</t>
  </si>
  <si>
    <t xml:space="preserve">CaixaBank Master RF Deuda Pública</t>
  </si>
  <si>
    <t xml:space="preserve">RF Gobierno EUR</t>
  </si>
  <si>
    <t xml:space="preserve">LU0995119822</t>
  </si>
  <si>
    <t xml:space="preserve">Morgan Stanley Global Brands A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</si>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</sst>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n">
        <v>412.35</v>
      </c>
      <c r="F2" s="3" t="n">
        <v>168.42</v>
      </c>
      <c r="G2" s="3" t="n">
        <f aca="false">E2*F2</f>
        <v>69447.987</v>
      </c>
      <c r="H2" s="4" t="n">
        <v>1.58</v>
      </c>
      <c r="I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12</v>
      </c>
      <c r="E3" s="3" t="n">
        <v>95.2</v>
      </c>
      <c r="F3" s="3" t="n">
        <v>312.55</v>
      </c>
      <c r="G3" s="3" t="n">
        <f aca="false">E3*F3</f>
        <v>29754.76</v>
      </c>
      <c r="H3" s="4" t="n">
        <v>1.69</v>
      </c>
      <c r="I3" s="2" t="s">
        <v>13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12</v>
      </c>
      <c r="E4" s="3" t="n">
        <v>2850</v>
      </c>
      <c r="F4" s="3" t="n">
        <v>11.24</v>
      </c>
      <c r="G4" s="3" t="n">
        <f aca="false">E4*F4</f>
        <v>32034</v>
      </c>
      <c r="H4" s="4" t="n">
        <v>1.15</v>
      </c>
      <c r="I4" s="2" t="s">
        <v>13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12</v>
      </c>
      <c r="E5" s="3" t="n">
        <v>110.5</v>
      </c>
      <c r="F5" s="3" t="n">
        <v>78.91</v>
      </c>
      <c r="G5" s="3" t="n">
        <f aca="false">E5*F5</f>
        <v>8719.555</v>
      </c>
      <c r="H5" s="4" t="n">
        <v>1.89</v>
      </c>
      <c r="I5" s="2" t="s">
        <v>13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2" t="s">
        <v>12</v>
      </c>
      <c r="E6" s="3" t="n">
        <v>180</v>
      </c>
      <c r="F6" s="3" t="n">
        <v>41.3</v>
      </c>
      <c r="G6" s="3" t="n">
        <f aca="false">E6*F6</f>
        <v>7434</v>
      </c>
      <c r="H6" s="4" t="n">
        <v>0.18</v>
      </c>
      <c r="I6" s="2" t="s">
        <v>26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22</v>
      </c>
      <c r="D7" s="2" t="s">
        <v>12</v>
      </c>
      <c r="E7" s="3" t="n">
        <v>64.8</v>
      </c>
      <c r="F7" s="3" t="n">
        <v>95.12</v>
      </c>
      <c r="G7" s="3" t="n">
        <f aca="false">E7*F7</f>
        <v>6163.776</v>
      </c>
      <c r="H7" s="4" t="n">
        <v>1.81</v>
      </c>
      <c r="I7" s="2" t="s">
        <v>13</v>
      </c>
    </row>
    <row r="8" customFormat="false" ht="15" hidden="false" customHeight="false" outlineLevel="0" collapsed="false">
      <c r="A8" s="2" t="s">
        <v>29</v>
      </c>
      <c r="B8" s="2" t="s">
        <v>30</v>
      </c>
      <c r="C8" s="2" t="s">
        <v>31</v>
      </c>
      <c r="D8" s="2" t="s">
        <v>12</v>
      </c>
      <c r="E8" s="3" t="n">
        <v>4100</v>
      </c>
      <c r="F8" s="3" t="n">
        <v>9.87</v>
      </c>
      <c r="G8" s="3" t="n">
        <f aca="false">E8*F8</f>
        <v>40467</v>
      </c>
      <c r="H8" s="4" t="n">
        <v>0.62</v>
      </c>
      <c r="I8" s="2" t="s">
        <v>13</v>
      </c>
    </row>
    <row r="9" customFormat="false" ht="15" hidden="false" customHeight="false" outlineLevel="0" collapsed="false">
      <c r="A9" s="2" t="s">
        <v>32</v>
      </c>
      <c r="B9" s="2" t="s">
        <v>33</v>
      </c>
      <c r="C9" s="2" t="s">
        <v>16</v>
      </c>
      <c r="D9" s="2" t="s">
        <v>12</v>
      </c>
      <c r="E9" s="3" t="n">
        <v>52.1</v>
      </c>
      <c r="F9" s="3" t="n">
        <v>124.66</v>
      </c>
      <c r="G9" s="3" t="n">
        <f aca="false">E9*F9</f>
        <v>6494.786</v>
      </c>
      <c r="H9" s="4" t="n">
        <v>1.84</v>
      </c>
      <c r="I9" s="2" t="s">
        <v>13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5" t="s">
        <v>34</v>
      </c>
      <c r="G10" s="6" t="n">
        <f aca="false">SUM(G2:G9)</f>
        <v>200515.864</v>
      </c>
      <c r="H10" s="2"/>
      <c r="I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2026-06-11T17:02:05Z</dcterms:created>
  <dc:creator>openpyxl</dc:creator>
  <dc:description/>
  <dc:language>en-US</dc:language>
  <cp:lastModifiedBy/>
  <dcterms:modified xsi:type="dcterms:W3CDTF">2026-06-11T17:02:05Z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